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єстр метрик" sheetId="1" state="visible" r:id="rId3"/>
    <sheet name="Легенда" sheetId="2" state="visible" r:id="rId4"/>
  </sheets>
  <definedNames>
    <definedName function="false" hidden="true" localSheetId="0" name="_xlnm._FilterDatabase" vbProcedure="false">'Реєстр метрик'!$A$6:$L$27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<sst xmlns="http://schemas.openxmlformats.org/spreadsheetml/2006/main" count="298" uniqueCount="188">
  <si>
    <t xml:space="preserve">Реєстр метрик UrbanStack — Product / Operational / Financial</t>
  </si>
  <si>
    <t xml:space="preserve">v0.1 · living document · оновлюється по ходу аудиту дашбордів · джерело правди для майбутньої dbt-документації</t>
  </si>
  <si>
    <t xml:space="preserve">Всього метрик:</t>
  </si>
  <si>
    <t xml:space="preserve">Active:</t>
  </si>
  <si>
    <t xml:space="preserve">Потребує уваги:</t>
  </si>
  <si>
    <t xml:space="preserve">Known issues:</t>
  </si>
  <si>
    <t xml:space="preserve">Заплановано:</t>
  </si>
  <si>
    <t xml:space="preserve">ID</t>
  </si>
  <si>
    <t xml:space="preserve">Домен</t>
  </si>
  <si>
    <t xml:space="preserve">Метрика</t>
  </si>
  <si>
    <t xml:space="preserve">Визначення</t>
  </si>
  <si>
    <t xml:space="preserve">Формула / логіка розрахунку</t>
  </si>
  <si>
    <t xml:space="preserve">Grain</t>
  </si>
  <si>
    <t xml:space="preserve">Джерело (dataset.view)</t>
  </si>
  <si>
    <t xml:space="preserve">Сторінка дашборду</t>
  </si>
  <si>
    <t xml:space="preserve">dbt target (план)</t>
  </si>
  <si>
    <t xml:space="preserve">Власник методології</t>
  </si>
  <si>
    <t xml:space="preserve">Статус</t>
  </si>
  <si>
    <t xml:space="preserve">Нотатки / відомі проблеми</t>
  </si>
  <si>
    <t xml:space="preserve">PROD-001</t>
  </si>
  <si>
    <t xml:space="preserve">Продуктовий</t>
  </si>
  <si>
    <t xml:space="preserve">Потенційних користувачів</t>
  </si>
  <si>
    <t xml:space="preserve">Загальна база юзерів у CRM (усі, хто хоч раз прив'язувався до приміщення)</t>
  </si>
  <si>
    <t xml:space="preserve">COUNT(DISTINCT user_id), total_crm_users / total_users</t>
  </si>
  <si>
    <t xml:space="preserve">complex × month</t>
  </si>
  <si>
    <t xml:space="preserve">postgresqldim9000.view_monthly_active_residents</t>
  </si>
  <si>
    <t xml:space="preserve">Стр.1</t>
  </si>
  <si>
    <t xml:space="preserve">fact_user_lifecycle (план)</t>
  </si>
  <si>
    <t xml:space="preserve">Артем</t>
  </si>
  <si>
    <t xml:space="preserve">Active</t>
  </si>
  <si>
    <t xml:space="preserve">Основа для % підтверджених (PROD-004)</t>
  </si>
  <si>
    <t xml:space="preserve">PROD-002</t>
  </si>
  <si>
    <t xml:space="preserve">Підтверджені користувачі</t>
  </si>
  <si>
    <t xml:space="preserve">Верифіковані юзери, що не деактивовані (verified=TRUE, role ≠ ROLE_INACTIVATED_CITIZEN)</t>
  </si>
  <si>
    <t xml:space="preserve">COUNT(DISTINCT user_id) WHERE verified AND NOT deactivated</t>
  </si>
  <si>
    <t xml:space="preserve">PROD-003</t>
  </si>
  <si>
    <t xml:space="preserve">Не власники (орендарі)</t>
  </si>
  <si>
    <t xml:space="preserve">Юзери, прив'язані до приміщення, але не власники</t>
  </si>
  <si>
    <t xml:space="preserve">tenant_users, is_owner = 0</t>
  </si>
  <si>
    <t xml:space="preserve">PROD-004</t>
  </si>
  <si>
    <t xml:space="preserve">% підтверджених</t>
  </si>
  <si>
    <t xml:space="preserve">Частка підтверджених від потенційних</t>
  </si>
  <si>
    <t xml:space="preserve">confirmed_users / total_users</t>
  </si>
  <si>
    <t xml:space="preserve">розраховується в Looker (calculated field)</t>
  </si>
  <si>
    <t xml:space="preserve">—</t>
  </si>
  <si>
    <t xml:space="preserve">PROD-005</t>
  </si>
  <si>
    <t xml:space="preserve">Відвідувачі додатку</t>
  </si>
  <si>
    <t xml:space="preserve">Унікальні юзери з будь-якою подією в Amplitude за місяць</t>
  </si>
  <si>
    <t xml:space="preserve">COUNT(DISTINCT amplitude_id)</t>
  </si>
  <si>
    <t xml:space="preserve">fact_module_usage (план)</t>
  </si>
  <si>
    <t xml:space="preserve">PROD-006</t>
  </si>
  <si>
    <t xml:space="preserve">MAU / % активних</t>
  </si>
  <si>
    <t xml:space="preserve">Юзери з core-подією (цільова дія) за місяць</t>
  </si>
  <si>
    <t xml:space="preserve">core_active_mau / confirmed_users</t>
  </si>
  <si>
    <t xml:space="preserve">view_monthly_active_residents, vw_dm_operations_monthly</t>
  </si>
  <si>
    <t xml:space="preserve">fact_activation_events (план)</t>
  </si>
  <si>
    <t xml:space="preserve">Список core-подій задубльовано в 3 view — узгоджений, але без єдиного джерела</t>
  </si>
  <si>
    <t xml:space="preserve">PROD-007</t>
  </si>
  <si>
    <t xml:space="preserve">Сегменти Живі/Сонні/Неактивні</t>
  </si>
  <si>
    <t xml:space="preserve">Активність юзера за останні 2 місяці (rolling)</t>
  </si>
  <si>
    <t xml:space="preserve">segment_active / segment_sleeping / segment_simply_inactive</t>
  </si>
  <si>
    <t xml:space="preserve">postgresqldim9000.vw_dm_complex_user_segments_monthly</t>
  </si>
  <si>
    <t xml:space="preserve">не на дашборді ще</t>
  </si>
  <si>
    <t xml:space="preserve">Артем (запропонував)</t>
  </si>
  <si>
    <t xml:space="preserve">Готово, не візуалізовано</t>
  </si>
  <si>
    <t xml:space="preserve">View вже готовий, обговорювали на дзвінку 03.07 — лишилось додати на дашборд</t>
  </si>
  <si>
    <t xml:space="preserve">PROD-008</t>
  </si>
  <si>
    <t xml:space="preserve">Активовані / Пасивно активовані / Нові юзери</t>
  </si>
  <si>
    <t xml:space="preserve">Воронка активації нових користувачів</t>
  </si>
  <si>
    <t xml:space="preserve">логіка не знайдена в BigQuery views</t>
  </si>
  <si>
    <t xml:space="preserve">user × подія</t>
  </si>
  <si>
    <t xml:space="preserve">Looker custom SQL (не знайдено в BQ)</t>
  </si>
  <si>
    <t xml:space="preserve">Стр.2</t>
  </si>
  <si>
    <t xml:space="preserve">Потребує аудиту</t>
  </si>
  <si>
    <t xml:space="preserve">SQL живе всередині джерела даних Looker Studio, не в BigQuery — треба витягнути окремо</t>
  </si>
  <si>
    <t xml:space="preserve">PROD-009</t>
  </si>
  <si>
    <t xml:space="preserve">STAR (North Star Metric)</t>
  </si>
  <si>
    <t xml:space="preserve">Частка активних юзерів, що виконали цільову дію</t>
  </si>
  <si>
    <t xml:space="preserve">Стр.4</t>
  </si>
  <si>
    <t xml:space="preserve">Ключова метрика компанії, формула не задокументована жодним view</t>
  </si>
  <si>
    <t xml:space="preserve">PROD-010</t>
  </si>
  <si>
    <t xml:space="preserve">Сесії / час у модулях</t>
  </si>
  <si>
    <t xml:space="preserve">Тривалість сесій і час користування кожним модулем</t>
  </si>
  <si>
    <t xml:space="preserve">user × module × day</t>
  </si>
  <si>
    <t xml:space="preserve">Стр.3</t>
  </si>
  <si>
    <t xml:space="preserve">PROD-011</t>
  </si>
  <si>
    <t xml:space="preserve">Заселеність квартир</t>
  </si>
  <si>
    <t xml:space="preserve">Частка квартир з прив'язаним мешканцем</t>
  </si>
  <si>
    <t xml:space="preserve">occupied_apartments / total_apartments</t>
  </si>
  <si>
    <t xml:space="preserve">house × month</t>
  </si>
  <si>
    <t xml:space="preserve">postgresqldim9000.vw_dm_apartment_occupancy_monthly</t>
  </si>
  <si>
    <t xml:space="preserve">не бачив на дашборді</t>
  </si>
  <si>
    <t xml:space="preserve">dim_building (план)</t>
  </si>
  <si>
    <t xml:space="preserve">PROD-012</t>
  </si>
  <si>
    <t xml:space="preserve">Розбивка по типу об'єкта</t>
  </si>
  <si>
    <t xml:space="preserve">Квартира / Паркінг / Комерція, підтверджені юзери по типу</t>
  </si>
  <si>
    <t xml:space="preserve">GROUP BY object_type</t>
  </si>
  <si>
    <t xml:space="preserve">complex × object_type × month</t>
  </si>
  <si>
    <t xml:space="preserve">postgresqldim9000.vw_dm_objects_filter</t>
  </si>
  <si>
    <t xml:space="preserve">?</t>
  </si>
  <si>
    <t xml:space="preserve">dim_space (план)</t>
  </si>
  <si>
    <t xml:space="preserve">Known issue</t>
  </si>
  <si>
    <t xml:space="preserve">deactivated_houses список неповний (3 з 11, коментар "и остальные...") — не використовувати без фіксу</t>
  </si>
  <si>
    <t xml:space="preserve">PROD-013</t>
  </si>
  <si>
    <t xml:space="preserve">Churn компанії</t>
  </si>
  <si>
    <t xml:space="preserve">Частка втрачених юзерів на rolling 2-міс базі</t>
  </si>
  <si>
    <t xml:space="preserve">churned_users / rolling_2m_active_base</t>
  </si>
  <si>
    <t xml:space="preserve">month (вся компанія)</t>
  </si>
  <si>
    <t xml:space="preserve">postgresqldim9000.dm_company_churn_monthly</t>
  </si>
  <si>
    <t xml:space="preserve">FIN-001</t>
  </si>
  <si>
    <t xml:space="preserve">Фінансовий</t>
  </si>
  <si>
    <t xml:space="preserve">Нарахування (charges)</t>
  </si>
  <si>
    <t xml:space="preserve">Сума нарахованих квитанцій за послугу/приміщення/місяць</t>
  </si>
  <si>
    <t xml:space="preserve">amount_of_charges</t>
  </si>
  <si>
    <t xml:space="preserve">1 запис нарахування</t>
  </si>
  <si>
    <t xml:space="preserve">finance_dash.fact_billing / mart_billing_flat</t>
  </si>
  <si>
    <t xml:space="preserve">Фінансовий деш</t>
  </si>
  <si>
    <t xml:space="preserve">fact_billing</t>
  </si>
  <si>
    <t xml:space="preserve">Аліона</t>
  </si>
  <si>
    <t xml:space="preserve">FIN-002</t>
  </si>
  <si>
    <t xml:space="preserve">Оплати (payments)</t>
  </si>
  <si>
    <t xml:space="preserve">Успішні транзакції оплат (status = accepted)</t>
  </si>
  <si>
    <t xml:space="preserve">payment_amount, WHERE status='accepted'</t>
  </si>
  <si>
    <t xml:space="preserve">1 платіж</t>
  </si>
  <si>
    <t xml:space="preserve">finance_dash.fact_payments / mart_payments_flat</t>
  </si>
  <si>
    <t xml:space="preserve">fact_payments</t>
  </si>
  <si>
    <t xml:space="preserve">FIN-003</t>
  </si>
  <si>
    <t xml:space="preserve">Борг — методика "flat"</t>
  </si>
  <si>
    <t xml:space="preserve">Вхідний борг мінус попередні нарахування, розподілені по місяцях</t>
  </si>
  <si>
    <t xml:space="preserve">debt_balance (initial_debt)</t>
  </si>
  <si>
    <t xml:space="preserve">finance_dash.fact_debt / mart_debt_flat / mart_debt_aging</t>
  </si>
  <si>
    <t xml:space="preserve">fact_debt</t>
  </si>
  <si>
    <t xml:space="preserve">Потребує узгодження</t>
  </si>
  <si>
    <t xml:space="preserve">Існує ПАРАЛЕЛЬНО з FIN-004 — дві різні методики боргу в системі одночасно</t>
  </si>
  <si>
    <t xml:space="preserve">FIN-004</t>
  </si>
  <si>
    <t xml:space="preserve">Борг — методика "Аліони"</t>
  </si>
  <si>
    <t xml:space="preserve">Вхідний борг мінус оплати (чистіший net-борг)</t>
  </si>
  <si>
    <t xml:space="preserve">debt_balance − paid_amount</t>
  </si>
  <si>
    <t xml:space="preserve">space × month</t>
  </si>
  <si>
    <t xml:space="preserve">finance_dash.mart_debt_alena</t>
  </si>
  <si>
    <t xml:space="preserve">Фінансовий деш?</t>
  </si>
  <si>
    <t xml:space="preserve">Назва натякає на колегу Аліону — уточнити, яка методика канонічна для дашборду</t>
  </si>
  <si>
    <t xml:space="preserve">FIN-005</t>
  </si>
  <si>
    <t xml:space="preserve">Природний рівень оплат</t>
  </si>
  <si>
    <t xml:space="preserve">Оплати поточного місяця / нарахування попереднього місяця</t>
  </si>
  <si>
    <t xml:space="preserve">SAFE_DIVIDE(payments_current, charges_previous)</t>
  </si>
  <si>
    <t xml:space="preserve">finance_dash.mart_payments_rate</t>
  </si>
  <si>
    <t xml:space="preserve">Назва майже ідентична mart_payment_rates (FIN-006) — легко переплутати при пошуку</t>
  </si>
  <si>
    <t xml:space="preserve">FIN-006</t>
  </si>
  <si>
    <t xml:space="preserve">Дисциплінований платник</t>
  </si>
  <si>
    <t xml:space="preserve">Мешканець, що повністю сплатив квитанцію за попередній місяць без боргу</t>
  </si>
  <si>
    <t xml:space="preserve">ще не реалізовано в марті</t>
  </si>
  <si>
    <t xml:space="preserve">план: новий mart</t>
  </si>
  <si>
    <t xml:space="preserve">Фінансовий деш (план)</t>
  </si>
  <si>
    <t xml:space="preserve">Заплановано</t>
  </si>
  <si>
    <t xml:space="preserve">Визначення узгоджено на дзвінку 03.07, view ще не написано</t>
  </si>
  <si>
    <t xml:space="preserve">FIN-007</t>
  </si>
  <si>
    <t xml:space="preserve">Середній чек</t>
  </si>
  <si>
    <t xml:space="preserve">Середня сума успішної оплати</t>
  </si>
  <si>
    <t xml:space="preserve">AVG(payment_amount)</t>
  </si>
  <si>
    <t xml:space="preserve">month</t>
  </si>
  <si>
    <t xml:space="preserve">розраховується в Looker з mart_payments_flat</t>
  </si>
  <si>
    <t xml:space="preserve">OPS-001</t>
  </si>
  <si>
    <t xml:space="preserve">Операційний</t>
  </si>
  <si>
    <t xml:space="preserve">(поки не заповнено)</t>
  </si>
  <si>
    <t xml:space="preserve">Операційний дашборд ще не аудували</t>
  </si>
  <si>
    <t xml:space="preserve">Операційний деш</t>
  </si>
  <si>
    <t xml:space="preserve">Наступний крок після завершення продуктового аудиту</t>
  </si>
  <si>
    <t xml:space="preserve">Як користуватись реєстром</t>
  </si>
  <si>
    <t xml:space="preserve">Колонка</t>
  </si>
  <si>
    <t xml:space="preserve">Опис</t>
  </si>
  <si>
    <t xml:space="preserve">PROD-*/FIN-*/OPS-* — короткий код метрики для посилань у документації та dbt</t>
  </si>
  <si>
    <t xml:space="preserve">Продуктовий / Фінансовий / Операційний — до якого дашборду належить</t>
  </si>
  <si>
    <t xml:space="preserve">Назва, як її називають в команді</t>
  </si>
  <si>
    <t xml:space="preserve">Що метрика означає бізнесово, без формул</t>
  </si>
  <si>
    <t xml:space="preserve">Технічна логіка розрахунку — те, що потрібно перенести в dbt-модель</t>
  </si>
  <si>
    <t xml:space="preserve">Що таке один рядок у джерелі (user×day, space×month і т.д.) — критично для уникнення багів з групуванням</t>
  </si>
  <si>
    <t xml:space="preserve">Де фізично лежать дані зараз (BigQuery view/table, або 'Looker custom SQL' якщо не знайдено в BQ)</t>
  </si>
  <si>
    <t xml:space="preserve">На якій сторінці Looker Studio метрика використовується</t>
  </si>
  <si>
    <t xml:space="preserve">Як буде називатись fact_*/dim_* модель після міграції на dbt</t>
  </si>
  <si>
    <t xml:space="preserve">Хто затверджує визначення метрики при спірних питаннях</t>
  </si>
  <si>
    <t xml:space="preserve">Значення:</t>
  </si>
  <si>
    <t xml:space="preserve">Метрика перевірена, працює, можна довіряти цифрам</t>
  </si>
  <si>
    <t xml:space="preserve">Логіка існує, але не знайдена в BigQuery (швидше за все — Looker custom SQL) — потрібно витягнути й задокументувати</t>
  </si>
  <si>
    <t xml:space="preserve">Існує кілька паралельних версій розрахунку — потрібно вибрати канонічну з Артемом/Аліоною</t>
  </si>
  <si>
    <t xml:space="preserve">Знайдений конкретний баг у логіці — не використовувати без фіксу</t>
  </si>
  <si>
    <t xml:space="preserve">Визначення узгоджено, але ще не реалізовано технічно</t>
  </si>
  <si>
    <t xml:space="preserve">View вже існує і коректний, просто ще не доданий на дашборд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</si>
</sst>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DCEAFB"/>
        <bgColor rgb="FFE5E7EB"/>
      </patternFill>
    </fill>
    <fill>
      <patternFill patternType="solid">
        <fgColor rgb="FFC6E7C6"/>
        <bgColor rgb="FFD1D5DB"/>
      </patternFill>
    </fill>
    <fill>
      <patternFill patternType="solid">
        <fgColor rgb="FFBFD9F2"/>
        <bgColor rgb="FFD1D5DB"/>
      </patternFill>
    </fill>
    <fill>
      <patternFill patternType="solid">
        <fgColor rgb="FFFCE8B2"/>
        <bgColor rgb="FFE5E7EB"/>
      </patternFill>
    </fill>
    <fill>
      <patternFill patternType="solid">
        <fgColor rgb="FFF4A9A9"/>
        <bgColor rgb="FFF8C9C9"/>
      </patternFill>
    </fill>
    <fill>
      <patternFill patternType="solid">
        <fgColor rgb="FFDDF0E8"/>
        <bgColor rgb="FFDCEAFB"/>
      </patternFill>
    </fill>
    <fill>
      <patternFill patternType="solid">
        <fgColor rgb="FFF8C9C9"/>
        <bgColor rgb="FFD1D5DB"/>
      </patternFill>
    </fill>
    <fill>
      <patternFill patternType="solid">
        <fgColor rgb="FFE5E7EB"/>
        <bgColor rgb="FFEDE3F7"/>
      </patternFill>
    </fill>
    <fill>
      <patternFill patternType="solid">
        <fgColor rgb="FFEDE3F7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37415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AFB"/>
          <bgColor rgb="FF000000"/>
        </patternFill>
      </fill>
    </dxf>
    <dxf>
      <fill>
        <patternFill patternType="solid">
          <fgColor rgb="FFDDF0E8"/>
          <bgColor rgb="FF000000"/>
        </patternFill>
      </fill>
    </dxf>
    <dxf>
      <fill>
        <patternFill patternType="solid">
          <fgColor rgb="FFEDE3F7"/>
          <bgColor rgb="FF000000"/>
        </patternFill>
      </fill>
    </dxf>
    <dxf>
      <fill>
        <patternFill patternType="solid">
          <fgColor rgb="FFBFD9F2"/>
          <bgColor rgb="FF000000"/>
        </patternFill>
      </fill>
    </dxf>
    <dxf>
      <fill>
        <patternFill patternType="solid">
          <fgColor rgb="FFC6E7C6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4A9A9"/>
          <bgColor rgb="FF000000"/>
        </patternFill>
      </fill>
    </dxf>
    <dxf>
      <fill>
        <patternFill patternType="solid">
          <fgColor rgb="FFF8C9C9"/>
          <bgColor rgb="FF000000"/>
        </patternFill>
      </fill>
    </dxf>
    <dxf>
      <fill>
        <patternFill patternType="solid">
          <fgColor rgb="FFFCE8B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E5E7EB"/>
      <rgbColor rgb="FFDDF0E8"/>
      <rgbColor rgb="FF660066"/>
      <rgbColor rgb="FFFF8080"/>
      <rgbColor rgb="FF0066CC"/>
      <rgbColor rgb="FFBFD9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B"/>
      <rgbColor rgb="FFC6E7C6"/>
      <rgbColor rgb="FFFCE8B2"/>
      <rgbColor rgb="FFEDE3F7"/>
      <rgbColor rgb="FFF4A9A9"/>
      <rgbColor rgb="FFCC99FF"/>
      <rgbColor rgb="FFF8C9C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5" min="4" style="0" width="34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4" t="n">
        <f aca="false">COUNTA(A7:A200)</f>
        <v>21</v>
      </c>
      <c r="C4" s="3" t="s">
        <v>3</v>
      </c>
      <c r="D4" s="4" t="n">
        <f aca="false">COUNTIF(K7:K200,"Active")</f>
        <v>12</v>
      </c>
      <c r="E4" s="3" t="s">
        <v>4</v>
      </c>
      <c r="F4" s="4" t="n">
        <f aca="false">COUNTIF(K7:K200,"*Потребує*")</f>
        <v>5</v>
      </c>
      <c r="G4" s="3" t="s">
        <v>5</v>
      </c>
      <c r="H4" s="4" t="n">
        <f aca="false">COUNTIF(K7:K200,"Known issue")</f>
        <v>1</v>
      </c>
      <c r="I4" s="3" t="s">
        <v>6</v>
      </c>
      <c r="J4" s="4" t="n">
        <f aca="false">COUNTIF(K7:K200,"Заплановано")</f>
        <v>2</v>
      </c>
    </row>
    <row r="6" customFormat="false" ht="31.5" hidden="false" customHeight="true" outlineLevel="0" collapsed="false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customFormat="false" ht="45.75" hidden="false" customHeight="true" outlineLevel="0" collapsed="false">
      <c r="A7" s="6" t="s">
        <v>19</v>
      </c>
      <c r="B7" s="7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8" t="s">
        <v>29</v>
      </c>
      <c r="L7" s="6" t="s">
        <v>30</v>
      </c>
    </row>
    <row r="8" customFormat="false" ht="45.75" hidden="false" customHeight="true" outlineLevel="0" collapsed="false">
      <c r="A8" s="6" t="s">
        <v>31</v>
      </c>
      <c r="B8" s="7" t="s">
        <v>20</v>
      </c>
      <c r="C8" s="6" t="s">
        <v>32</v>
      </c>
      <c r="D8" s="6" t="s">
        <v>33</v>
      </c>
      <c r="E8" s="6" t="s">
        <v>34</v>
      </c>
      <c r="F8" s="6" t="s">
        <v>24</v>
      </c>
      <c r="G8" s="6" t="s">
        <v>25</v>
      </c>
      <c r="H8" s="6" t="s">
        <v>26</v>
      </c>
      <c r="I8" s="6" t="s">
        <v>27</v>
      </c>
      <c r="J8" s="6" t="s">
        <v>28</v>
      </c>
      <c r="K8" s="8" t="s">
        <v>29</v>
      </c>
      <c r="L8" s="6"/>
    </row>
    <row r="9" customFormat="false" ht="45.75" hidden="false" customHeight="true" outlineLevel="0" collapsed="false">
      <c r="A9" s="6" t="s">
        <v>35</v>
      </c>
      <c r="B9" s="7" t="s">
        <v>20</v>
      </c>
      <c r="C9" s="6" t="s">
        <v>36</v>
      </c>
      <c r="D9" s="6" t="s">
        <v>37</v>
      </c>
      <c r="E9" s="6" t="s">
        <v>38</v>
      </c>
      <c r="F9" s="6" t="s">
        <v>24</v>
      </c>
      <c r="G9" s="6" t="s">
        <v>25</v>
      </c>
      <c r="H9" s="6" t="s">
        <v>26</v>
      </c>
      <c r="I9" s="6" t="s">
        <v>27</v>
      </c>
      <c r="J9" s="6" t="s">
        <v>28</v>
      </c>
      <c r="K9" s="8" t="s">
        <v>29</v>
      </c>
      <c r="L9" s="6"/>
    </row>
    <row r="10" customFormat="false" ht="45.75" hidden="false" customHeight="true" outlineLevel="0" collapsed="false">
      <c r="A10" s="6" t="s">
        <v>39</v>
      </c>
      <c r="B10" s="7" t="s">
        <v>20</v>
      </c>
      <c r="C10" s="6" t="s">
        <v>40</v>
      </c>
      <c r="D10" s="6" t="s">
        <v>41</v>
      </c>
      <c r="E10" s="6" t="s">
        <v>42</v>
      </c>
      <c r="F10" s="6" t="s">
        <v>24</v>
      </c>
      <c r="G10" s="6" t="s">
        <v>43</v>
      </c>
      <c r="H10" s="6" t="s">
        <v>26</v>
      </c>
      <c r="I10" s="6" t="s">
        <v>44</v>
      </c>
      <c r="J10" s="6" t="s">
        <v>44</v>
      </c>
      <c r="K10" s="8" t="s">
        <v>29</v>
      </c>
      <c r="L10" s="6"/>
    </row>
    <row r="11" customFormat="false" ht="45.75" hidden="false" customHeight="true" outlineLevel="0" collapsed="false">
      <c r="A11" s="6" t="s">
        <v>45</v>
      </c>
      <c r="B11" s="7" t="s">
        <v>20</v>
      </c>
      <c r="C11" s="6" t="s">
        <v>46</v>
      </c>
      <c r="D11" s="6" t="s">
        <v>47</v>
      </c>
      <c r="E11" s="6" t="s">
        <v>48</v>
      </c>
      <c r="F11" s="6" t="s">
        <v>24</v>
      </c>
      <c r="G11" s="6" t="s">
        <v>25</v>
      </c>
      <c r="H11" s="6" t="s">
        <v>26</v>
      </c>
      <c r="I11" s="6" t="s">
        <v>49</v>
      </c>
      <c r="J11" s="6" t="s">
        <v>44</v>
      </c>
      <c r="K11" s="8" t="s">
        <v>29</v>
      </c>
      <c r="L11" s="6"/>
    </row>
    <row r="12" customFormat="false" ht="45.75" hidden="false" customHeight="true" outlineLevel="0" collapsed="false">
      <c r="A12" s="6" t="s">
        <v>50</v>
      </c>
      <c r="B12" s="7" t="s">
        <v>20</v>
      </c>
      <c r="C12" s="6" t="s">
        <v>51</v>
      </c>
      <c r="D12" s="6" t="s">
        <v>52</v>
      </c>
      <c r="E12" s="6" t="s">
        <v>53</v>
      </c>
      <c r="F12" s="6" t="s">
        <v>24</v>
      </c>
      <c r="G12" s="6" t="s">
        <v>54</v>
      </c>
      <c r="H12" s="6" t="s">
        <v>26</v>
      </c>
      <c r="I12" s="6" t="s">
        <v>55</v>
      </c>
      <c r="J12" s="6" t="s">
        <v>28</v>
      </c>
      <c r="K12" s="8" t="s">
        <v>29</v>
      </c>
      <c r="L12" s="6" t="s">
        <v>56</v>
      </c>
    </row>
    <row r="13" customFormat="false" ht="45.75" hidden="false" customHeight="true" outlineLevel="0" collapsed="false">
      <c r="A13" s="6" t="s">
        <v>57</v>
      </c>
      <c r="B13" s="7" t="s">
        <v>20</v>
      </c>
      <c r="C13" s="6" t="s">
        <v>58</v>
      </c>
      <c r="D13" s="6" t="s">
        <v>59</v>
      </c>
      <c r="E13" s="6" t="s">
        <v>60</v>
      </c>
      <c r="F13" s="6" t="s">
        <v>24</v>
      </c>
      <c r="G13" s="6" t="s">
        <v>61</v>
      </c>
      <c r="H13" s="6" t="s">
        <v>62</v>
      </c>
      <c r="I13" s="6" t="s">
        <v>27</v>
      </c>
      <c r="J13" s="6" t="s">
        <v>63</v>
      </c>
      <c r="K13" s="9" t="s">
        <v>64</v>
      </c>
      <c r="L13" s="6" t="s">
        <v>65</v>
      </c>
    </row>
    <row r="14" customFormat="false" ht="45.75" hidden="false" customHeight="true" outlineLevel="0" collapsed="false">
      <c r="A14" s="6" t="s">
        <v>66</v>
      </c>
      <c r="B14" s="7" t="s">
        <v>20</v>
      </c>
      <c r="C14" s="6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6" t="s">
        <v>55</v>
      </c>
      <c r="J14" s="6" t="s">
        <v>44</v>
      </c>
      <c r="K14" s="10" t="s">
        <v>73</v>
      </c>
      <c r="L14" s="6" t="s">
        <v>74</v>
      </c>
    </row>
    <row r="15" customFormat="false" ht="45.75" hidden="false" customHeight="true" outlineLevel="0" collapsed="false">
      <c r="A15" s="6" t="s">
        <v>75</v>
      </c>
      <c r="B15" s="7" t="s">
        <v>20</v>
      </c>
      <c r="C15" s="6" t="s">
        <v>76</v>
      </c>
      <c r="D15" s="6" t="s">
        <v>77</v>
      </c>
      <c r="E15" s="6" t="s">
        <v>69</v>
      </c>
      <c r="F15" s="6" t="s">
        <v>24</v>
      </c>
      <c r="G15" s="6" t="s">
        <v>71</v>
      </c>
      <c r="H15" s="6" t="s">
        <v>78</v>
      </c>
      <c r="I15" s="6" t="s">
        <v>55</v>
      </c>
      <c r="J15" s="6" t="s">
        <v>28</v>
      </c>
      <c r="K15" s="10" t="s">
        <v>73</v>
      </c>
      <c r="L15" s="6" t="s">
        <v>79</v>
      </c>
    </row>
    <row r="16" customFormat="false" ht="45.75" hidden="false" customHeight="true" outlineLevel="0" collapsed="false">
      <c r="A16" s="6" t="s">
        <v>80</v>
      </c>
      <c r="B16" s="7" t="s">
        <v>20</v>
      </c>
      <c r="C16" s="6" t="s">
        <v>81</v>
      </c>
      <c r="D16" s="6" t="s">
        <v>82</v>
      </c>
      <c r="E16" s="6" t="s">
        <v>69</v>
      </c>
      <c r="F16" s="6" t="s">
        <v>83</v>
      </c>
      <c r="G16" s="6" t="s">
        <v>71</v>
      </c>
      <c r="H16" s="6" t="s">
        <v>84</v>
      </c>
      <c r="I16" s="6" t="s">
        <v>49</v>
      </c>
      <c r="J16" s="6" t="s">
        <v>44</v>
      </c>
      <c r="K16" s="10" t="s">
        <v>73</v>
      </c>
      <c r="L16" s="6"/>
    </row>
    <row r="17" customFormat="false" ht="45.75" hidden="false" customHeight="true" outlineLevel="0" collapsed="false">
      <c r="A17" s="6" t="s">
        <v>85</v>
      </c>
      <c r="B17" s="7" t="s">
        <v>20</v>
      </c>
      <c r="C17" s="6" t="s">
        <v>86</v>
      </c>
      <c r="D17" s="6" t="s">
        <v>87</v>
      </c>
      <c r="E17" s="6" t="s">
        <v>88</v>
      </c>
      <c r="F17" s="6" t="s">
        <v>89</v>
      </c>
      <c r="G17" s="6" t="s">
        <v>90</v>
      </c>
      <c r="H17" s="6" t="s">
        <v>91</v>
      </c>
      <c r="I17" s="6" t="s">
        <v>92</v>
      </c>
      <c r="J17" s="6" t="s">
        <v>44</v>
      </c>
      <c r="K17" s="8" t="s">
        <v>29</v>
      </c>
      <c r="L17" s="6"/>
    </row>
    <row r="18" customFormat="false" ht="45.75" hidden="false" customHeight="true" outlineLevel="0" collapsed="false">
      <c r="A18" s="6" t="s">
        <v>93</v>
      </c>
      <c r="B18" s="7" t="s">
        <v>20</v>
      </c>
      <c r="C18" s="6" t="s">
        <v>94</v>
      </c>
      <c r="D18" s="6" t="s">
        <v>95</v>
      </c>
      <c r="E18" s="6" t="s">
        <v>96</v>
      </c>
      <c r="F18" s="6" t="s">
        <v>97</v>
      </c>
      <c r="G18" s="6" t="s">
        <v>98</v>
      </c>
      <c r="H18" s="6" t="s">
        <v>99</v>
      </c>
      <c r="I18" s="6" t="s">
        <v>100</v>
      </c>
      <c r="J18" s="6" t="s">
        <v>44</v>
      </c>
      <c r="K18" s="11" t="s">
        <v>101</v>
      </c>
      <c r="L18" s="6" t="s">
        <v>102</v>
      </c>
    </row>
    <row r="19" customFormat="false" ht="45.75" hidden="false" customHeight="true" outlineLevel="0" collapsed="false">
      <c r="A19" s="6" t="s">
        <v>103</v>
      </c>
      <c r="B19" s="7" t="s">
        <v>20</v>
      </c>
      <c r="C19" s="6" t="s">
        <v>104</v>
      </c>
      <c r="D19" s="6" t="s">
        <v>105</v>
      </c>
      <c r="E19" s="6" t="s">
        <v>106</v>
      </c>
      <c r="F19" s="6" t="s">
        <v>107</v>
      </c>
      <c r="G19" s="6" t="s">
        <v>108</v>
      </c>
      <c r="H19" s="6" t="s">
        <v>91</v>
      </c>
      <c r="I19" s="6" t="s">
        <v>44</v>
      </c>
      <c r="J19" s="6" t="s">
        <v>44</v>
      </c>
      <c r="K19" s="8" t="s">
        <v>29</v>
      </c>
      <c r="L19" s="6"/>
    </row>
    <row r="20" customFormat="false" ht="45.75" hidden="false" customHeight="true" outlineLevel="0" collapsed="false">
      <c r="A20" s="6" t="s">
        <v>109</v>
      </c>
      <c r="B20" s="12" t="s">
        <v>110</v>
      </c>
      <c r="C20" s="6" t="s">
        <v>111</v>
      </c>
      <c r="D20" s="6" t="s">
        <v>112</v>
      </c>
      <c r="E20" s="6" t="s">
        <v>113</v>
      </c>
      <c r="F20" s="6" t="s">
        <v>114</v>
      </c>
      <c r="G20" s="6" t="s">
        <v>115</v>
      </c>
      <c r="H20" s="6" t="s">
        <v>116</v>
      </c>
      <c r="I20" s="6" t="s">
        <v>117</v>
      </c>
      <c r="J20" s="6" t="s">
        <v>118</v>
      </c>
      <c r="K20" s="8" t="s">
        <v>29</v>
      </c>
      <c r="L20" s="6"/>
    </row>
    <row r="21" customFormat="false" ht="45.75" hidden="false" customHeight="true" outlineLevel="0" collapsed="false">
      <c r="A21" s="6" t="s">
        <v>119</v>
      </c>
      <c r="B21" s="12" t="s">
        <v>110</v>
      </c>
      <c r="C21" s="6" t="s">
        <v>120</v>
      </c>
      <c r="D21" s="6" t="s">
        <v>121</v>
      </c>
      <c r="E21" s="6" t="s">
        <v>122</v>
      </c>
      <c r="F21" s="6" t="s">
        <v>123</v>
      </c>
      <c r="G21" s="6" t="s">
        <v>124</v>
      </c>
      <c r="H21" s="6" t="s">
        <v>116</v>
      </c>
      <c r="I21" s="6" t="s">
        <v>125</v>
      </c>
      <c r="J21" s="6" t="s">
        <v>118</v>
      </c>
      <c r="K21" s="8" t="s">
        <v>29</v>
      </c>
      <c r="L21" s="6"/>
    </row>
    <row r="22" customFormat="false" ht="45.75" hidden="false" customHeight="true" outlineLevel="0" collapsed="false">
      <c r="A22" s="6" t="s">
        <v>126</v>
      </c>
      <c r="B22" s="12" t="s">
        <v>110</v>
      </c>
      <c r="C22" s="6" t="s">
        <v>127</v>
      </c>
      <c r="D22" s="6" t="s">
        <v>128</v>
      </c>
      <c r="E22" s="6" t="s">
        <v>129</v>
      </c>
      <c r="F22" s="6" t="s">
        <v>114</v>
      </c>
      <c r="G22" s="6" t="s">
        <v>130</v>
      </c>
      <c r="H22" s="6" t="s">
        <v>116</v>
      </c>
      <c r="I22" s="6" t="s">
        <v>131</v>
      </c>
      <c r="J22" s="6" t="s">
        <v>99</v>
      </c>
      <c r="K22" s="13" t="s">
        <v>132</v>
      </c>
      <c r="L22" s="6" t="s">
        <v>133</v>
      </c>
    </row>
    <row r="23" customFormat="false" ht="45.75" hidden="false" customHeight="true" outlineLevel="0" collapsed="false">
      <c r="A23" s="6" t="s">
        <v>134</v>
      </c>
      <c r="B23" s="12" t="s">
        <v>110</v>
      </c>
      <c r="C23" s="6" t="s">
        <v>135</v>
      </c>
      <c r="D23" s="6" t="s">
        <v>136</v>
      </c>
      <c r="E23" s="6" t="s">
        <v>137</v>
      </c>
      <c r="F23" s="6" t="s">
        <v>138</v>
      </c>
      <c r="G23" s="6" t="s">
        <v>139</v>
      </c>
      <c r="H23" s="6" t="s">
        <v>140</v>
      </c>
      <c r="I23" s="6" t="s">
        <v>131</v>
      </c>
      <c r="J23" s="6" t="s">
        <v>118</v>
      </c>
      <c r="K23" s="13" t="s">
        <v>132</v>
      </c>
      <c r="L23" s="6" t="s">
        <v>141</v>
      </c>
    </row>
    <row r="24" customFormat="false" ht="45.75" hidden="false" customHeight="true" outlineLevel="0" collapsed="false">
      <c r="A24" s="6" t="s">
        <v>142</v>
      </c>
      <c r="B24" s="12" t="s">
        <v>110</v>
      </c>
      <c r="C24" s="6" t="s">
        <v>143</v>
      </c>
      <c r="D24" s="6" t="s">
        <v>144</v>
      </c>
      <c r="E24" s="6" t="s">
        <v>145</v>
      </c>
      <c r="F24" s="6" t="s">
        <v>24</v>
      </c>
      <c r="G24" s="6" t="s">
        <v>146</v>
      </c>
      <c r="H24" s="6" t="s">
        <v>116</v>
      </c>
      <c r="I24" s="6" t="s">
        <v>125</v>
      </c>
      <c r="J24" s="6" t="s">
        <v>28</v>
      </c>
      <c r="K24" s="8" t="s">
        <v>29</v>
      </c>
      <c r="L24" s="6" t="s">
        <v>147</v>
      </c>
    </row>
    <row r="25" customFormat="false" ht="45.75" hidden="false" customHeight="true" outlineLevel="0" collapsed="false">
      <c r="A25" s="6" t="s">
        <v>148</v>
      </c>
      <c r="B25" s="12" t="s">
        <v>110</v>
      </c>
      <c r="C25" s="6" t="s">
        <v>149</v>
      </c>
      <c r="D25" s="6" t="s">
        <v>150</v>
      </c>
      <c r="E25" s="6" t="s">
        <v>151</v>
      </c>
      <c r="F25" s="6" t="s">
        <v>138</v>
      </c>
      <c r="G25" s="6" t="s">
        <v>152</v>
      </c>
      <c r="H25" s="6" t="s">
        <v>153</v>
      </c>
      <c r="I25" s="6" t="s">
        <v>125</v>
      </c>
      <c r="J25" s="6" t="s">
        <v>28</v>
      </c>
      <c r="K25" s="14" t="s">
        <v>154</v>
      </c>
      <c r="L25" s="6" t="s">
        <v>155</v>
      </c>
    </row>
    <row r="26" customFormat="false" ht="45.75" hidden="false" customHeight="true" outlineLevel="0" collapsed="false">
      <c r="A26" s="6" t="s">
        <v>156</v>
      </c>
      <c r="B26" s="12" t="s">
        <v>110</v>
      </c>
      <c r="C26" s="6" t="s">
        <v>157</v>
      </c>
      <c r="D26" s="6" t="s">
        <v>158</v>
      </c>
      <c r="E26" s="6" t="s">
        <v>159</v>
      </c>
      <c r="F26" s="6" t="s">
        <v>160</v>
      </c>
      <c r="G26" s="6" t="s">
        <v>161</v>
      </c>
      <c r="H26" s="6" t="s">
        <v>116</v>
      </c>
      <c r="I26" s="6" t="s">
        <v>44</v>
      </c>
      <c r="J26" s="6" t="s">
        <v>44</v>
      </c>
      <c r="K26" s="8" t="s">
        <v>29</v>
      </c>
      <c r="L26" s="6"/>
    </row>
    <row r="27" customFormat="false" ht="45.75" hidden="false" customHeight="true" outlineLevel="0" collapsed="false">
      <c r="A27" s="6" t="s">
        <v>162</v>
      </c>
      <c r="B27" s="15" t="s">
        <v>163</v>
      </c>
      <c r="C27" s="6" t="s">
        <v>164</v>
      </c>
      <c r="D27" s="6" t="s">
        <v>165</v>
      </c>
      <c r="E27" s="6" t="s">
        <v>44</v>
      </c>
      <c r="F27" s="6" t="s">
        <v>44</v>
      </c>
      <c r="G27" s="6" t="s">
        <v>44</v>
      </c>
      <c r="H27" s="6" t="s">
        <v>166</v>
      </c>
      <c r="I27" s="6" t="s">
        <v>44</v>
      </c>
      <c r="J27" s="6" t="s">
        <v>44</v>
      </c>
      <c r="K27" s="14" t="s">
        <v>154</v>
      </c>
      <c r="L27" s="6" t="s">
        <v>167</v>
      </c>
    </row>
  </sheetData>
  <autoFilter ref="A6:L27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6" t="s">
        <v>168</v>
      </c>
      <c r="B1" s="16"/>
    </row>
    <row r="3" customFormat="false" ht="15" hidden="false" customHeight="false" outlineLevel="0" collapsed="false">
      <c r="A3" s="17" t="s">
        <v>169</v>
      </c>
      <c r="B3" s="18" t="s">
        <v>170</v>
      </c>
    </row>
    <row r="4" customFormat="false" ht="15" hidden="false" customHeight="false" outlineLevel="0" collapsed="false">
      <c r="A4" s="0" t="s">
        <v>7</v>
      </c>
      <c r="B4" s="19" t="s">
        <v>171</v>
      </c>
    </row>
    <row r="5" customFormat="false" ht="15" hidden="false" customHeight="false" outlineLevel="0" collapsed="false">
      <c r="A5" s="0" t="s">
        <v>8</v>
      </c>
      <c r="B5" s="19" t="s">
        <v>172</v>
      </c>
    </row>
    <row r="6" customFormat="false" ht="15" hidden="false" customHeight="false" outlineLevel="0" collapsed="false">
      <c r="A6" s="0" t="s">
        <v>9</v>
      </c>
      <c r="B6" s="19" t="s">
        <v>173</v>
      </c>
    </row>
    <row r="7" customFormat="false" ht="15" hidden="false" customHeight="false" outlineLevel="0" collapsed="false">
      <c r="A7" s="0" t="s">
        <v>10</v>
      </c>
      <c r="B7" s="19" t="s">
        <v>174</v>
      </c>
    </row>
    <row r="8" customFormat="false" ht="15" hidden="false" customHeight="false" outlineLevel="0" collapsed="false">
      <c r="A8" s="0" t="s">
        <v>11</v>
      </c>
      <c r="B8" s="19" t="s">
        <v>175</v>
      </c>
    </row>
    <row r="9" customFormat="false" ht="28.35" hidden="false" customHeight="false" outlineLevel="0" collapsed="false">
      <c r="A9" s="0" t="s">
        <v>12</v>
      </c>
      <c r="B9" s="19" t="s">
        <v>176</v>
      </c>
    </row>
    <row r="10" customFormat="false" ht="15" hidden="false" customHeight="false" outlineLevel="0" collapsed="false">
      <c r="A10" s="0" t="s">
        <v>13</v>
      </c>
      <c r="B10" s="19" t="s">
        <v>177</v>
      </c>
    </row>
    <row r="11" customFormat="false" ht="15" hidden="false" customHeight="false" outlineLevel="0" collapsed="false">
      <c r="A11" s="0" t="s">
        <v>14</v>
      </c>
      <c r="B11" s="19" t="s">
        <v>178</v>
      </c>
    </row>
    <row r="12" customFormat="false" ht="15" hidden="false" customHeight="false" outlineLevel="0" collapsed="false">
      <c r="A12" s="0" t="s">
        <v>15</v>
      </c>
      <c r="B12" s="19" t="s">
        <v>179</v>
      </c>
    </row>
    <row r="13" customFormat="false" ht="15" hidden="false" customHeight="false" outlineLevel="0" collapsed="false">
      <c r="A13" s="0" t="s">
        <v>16</v>
      </c>
      <c r="B13" s="19" t="s">
        <v>180</v>
      </c>
    </row>
    <row r="14" customFormat="false" ht="15" hidden="false" customHeight="false" outlineLevel="0" collapsed="false">
      <c r="B14" s="19"/>
    </row>
    <row r="15" customFormat="false" ht="15" hidden="false" customHeight="false" outlineLevel="0" collapsed="false">
      <c r="A15" s="17" t="s">
        <v>17</v>
      </c>
      <c r="B15" s="18" t="s">
        <v>181</v>
      </c>
    </row>
    <row r="16" customFormat="false" ht="15" hidden="false" customHeight="false" outlineLevel="0" collapsed="false">
      <c r="A16" s="0" t="s">
        <v>29</v>
      </c>
      <c r="B16" s="19" t="s">
        <v>182</v>
      </c>
    </row>
    <row r="17" customFormat="false" ht="28.35" hidden="false" customHeight="false" outlineLevel="0" collapsed="false">
      <c r="A17" s="0" t="s">
        <v>73</v>
      </c>
      <c r="B17" s="19" t="s">
        <v>183</v>
      </c>
    </row>
    <row r="18" customFormat="false" ht="15" hidden="false" customHeight="false" outlineLevel="0" collapsed="false">
      <c r="A18" s="0" t="s">
        <v>132</v>
      </c>
      <c r="B18" s="19" t="s">
        <v>184</v>
      </c>
    </row>
    <row r="19" customFormat="false" ht="15" hidden="false" customHeight="false" outlineLevel="0" collapsed="false">
      <c r="A19" s="0" t="s">
        <v>101</v>
      </c>
      <c r="B19" s="19" t="s">
        <v>185</v>
      </c>
    </row>
    <row r="20" customFormat="false" ht="15" hidden="false" customHeight="false" outlineLevel="0" collapsed="false">
      <c r="A20" s="0" t="s">
        <v>154</v>
      </c>
      <c r="B20" s="19" t="s">
        <v>186</v>
      </c>
    </row>
    <row r="21" customFormat="false" ht="15" hidden="false" customHeight="false" outlineLevel="0" collapsed="false">
      <c r="A21" s="0" t="s">
        <v>64</v>
      </c>
      <c r="B21" s="19" t="s">
        <v>187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2026-07-04T11:25:46Z</dcterms:created>
  <dc:creator>openpyxl</dc:creator>
  <dc:description/>
  <dc:language>en-US</dc:language>
  <cp:lastModifiedBy/>
  <dcterms:modified xsi:type="dcterms:W3CDTF">2026-07-04T11:25:46Z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